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287" activeTab="1"/>
  </bookViews>
  <sheets>
    <sheet name="画面イメージ" sheetId="1" r:id="rId1"/>
    <sheet name="基本プロセス" sheetId="2" r:id="rId2"/>
  </sheets>
  <calcPr calcId="144525"/>
</workbook>
</file>

<file path=xl/sharedStrings.xml><?xml version="1.0" encoding="utf-8"?>
<sst xmlns="http://schemas.openxmlformats.org/spreadsheetml/2006/main" count="35" uniqueCount="32">
  <si>
    <t>画面イメージ</t>
  </si>
  <si>
    <t>No</t>
  </si>
  <si>
    <t>オブジェクト</t>
  </si>
  <si>
    <t>機能</t>
  </si>
  <si>
    <t>対局準備ボタン</t>
  </si>
  <si>
    <t>以下にアクセスし、最新日付の画像を取得
\\YukiYoshiNAS\Shogiban-kaiseki-tool\runtime\input
青三角方向調整、赤丸キャリブレーションを実施し、
初期配置として読み込めるかどうかを確認。
正しく読み込めた場合、「準備OK」と表示。
正しく読み込めない場合、ポップアップを開いて人間の手で方向指定→画像回転とキャリブレーションを実施。</t>
  </si>
  <si>
    <t>対局開始ボタン</t>
  </si>
  <si>
    <t>対局準備後、押下可能。対局準備ボタンを押下不可にする。
以下フォルダを監視し、新しく同期されて入ってくるファイルを順に解析してKIFファイルに追記していく。
\\YukiYoshiNAS\Shogiban-kaiseki-tool\runtime\input
KIFファイルは以下に配置
\\YukiYoshiNAS\Shogiban-kaiseki-tool\runtime\result
（命名規則：【対局中】yyyyMMdd_hh:mm.kif ※日付は対局開始ボタン押下日時）</t>
  </si>
  <si>
    <t>対局終了ボタン</t>
  </si>
  <si>
    <t>対局開始後、押下可能。対局準備ボタンを押下可能にする
フォルダ監視を終了。KIFファイルのファイル名の頭を【対局完了】に変更。</t>
  </si>
  <si>
    <t>対局中止ボタン</t>
  </si>
  <si>
    <t>対局開始後、押下可能。対局準備ボタンを押下可能にする
フォルダ監視を終了。KIFファイルのファイル名の頭を【対局中止】に変更。</t>
  </si>
  <si>
    <t>メッセージwindow</t>
  </si>
  <si>
    <t>テキストにて、「準備OK」や、「XXX手目以降読み取りエラー」など表示</t>
  </si>
  <si>
    <t>認識エラー時の自動中止（システム動作）</t>
  </si>
  <si>
    <t>対局開始後、1手が認識できない、または差分が大きく確定できない等、プログラム側で
解決できない場合、誤ったKIFを生成せず対局中止ボタンと同じ動作を自動実行する。
ただしKIFファイル名の頭は【対局エラー中止】に変更する。</t>
  </si>
  <si>
    <t>基本プロセス</t>
  </si>
  <si>
    <t>＝＝＝</t>
  </si>
  <si>
    <t>①監視フォルダに初期配置の画像が入ってくる</t>
  </si>
  <si>
    <t>②ユーザが対局準備ボタンをクリック</t>
  </si>
  <si>
    <t>③最新画像（初期配置画像）を分析し、青三角形（と可能であれば駒位置）で盤の方向を検知</t>
  </si>
  <si>
    <t>　もしエラーが出た場合はユーザで盤の方向指定と四隅キャリブレーションを対応し、⑥へ</t>
  </si>
  <si>
    <t>④赤丸でキャリブレーションを行う。</t>
  </si>
  <si>
    <t>⑤初期配置盤面を画像解析し、将棋ルール上の初期配置と同じになっているかを確認。</t>
  </si>
  <si>
    <t>⑥準備OKと表示</t>
  </si>
  <si>
    <t>⑦ユーザが対局準備ボタンをクリック</t>
  </si>
  <si>
    <t>⑧画像が同期されてくるので、対局準備ボタン押下後に入ってきた画像を準備分析し、KIFファイルを生成していく。</t>
  </si>
  <si>
    <t>　その際分析結果を前の手と照合し、将棋ルール上問題ないかなど確認しながら対応を進める。</t>
  </si>
  <si>
    <t>　問題が発生した場合は「認識エラー時の自動中止（システム動作）」を実施。</t>
  </si>
  <si>
    <t>⑨対局が終わり最後まで画像が同期される</t>
  </si>
  <si>
    <t>⑩対局終了ボタンを押下</t>
  </si>
  <si>
    <t>⑪KIFファイルのファイル名の頭を【対局完了】に変更して終了。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</si>
</sst>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b/>
      <sz val="9"/>
      <color theme="1"/>
      <name val="ＭＳ Ｐゴシック"/>
      <charset val="134"/>
      <scheme val="minor"/>
    </font>
    <font>
      <sz val="9"/>
      <color theme="1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0" fontId="6" fillId="8" borderId="2">
      <alignment vertical="center"/>
    </xf>
    <xf numFmtId="176" fontId="0" fillId="0" borderId="0">
      <alignment vertical="center"/>
    </xf>
    <xf numFmtId="178" fontId="0" fillId="0" borderId="0">
      <alignment vertical="center"/>
    </xf>
    <xf numFmtId="0" fontId="4" fillId="12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0" fontId="10" fillId="0" borderId="0">
      <alignment vertical="center"/>
    </xf>
    <xf numFmtId="0" fontId="8" fillId="17" borderId="0">
      <alignment vertical="center"/>
    </xf>
    <xf numFmtId="0" fontId="11" fillId="0" borderId="0">
      <alignment vertical="center"/>
    </xf>
    <xf numFmtId="0" fontId="4" fillId="16" borderId="0">
      <alignment vertical="center"/>
    </xf>
    <xf numFmtId="0" fontId="0" fillId="18" borderId="5">
      <alignment vertical="center"/>
    </xf>
    <xf numFmtId="0" fontId="3" fillId="4" borderId="0">
      <alignment vertical="center"/>
    </xf>
    <xf numFmtId="0" fontId="12" fillId="0" borderId="0">
      <alignment vertical="center"/>
    </xf>
    <xf numFmtId="0" fontId="14" fillId="0" borderId="6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8" fillId="24" borderId="0">
      <alignment vertical="center"/>
    </xf>
    <xf numFmtId="0" fontId="17" fillId="7" borderId="7">
      <alignment vertical="center"/>
    </xf>
    <xf numFmtId="0" fontId="18" fillId="0" borderId="8">
      <alignment vertical="center"/>
    </xf>
    <xf numFmtId="0" fontId="19" fillId="0" borderId="8">
      <alignment vertical="center"/>
    </xf>
    <xf numFmtId="0" fontId="5" fillId="7" borderId="2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8" fillId="23" borderId="0">
      <alignment vertical="center"/>
    </xf>
    <xf numFmtId="0" fontId="7" fillId="9" borderId="3">
      <alignment vertical="center"/>
    </xf>
    <xf numFmtId="0" fontId="4" fillId="25" borderId="0">
      <alignment vertical="center"/>
    </xf>
    <xf numFmtId="0" fontId="20" fillId="0" borderId="9">
      <alignment vertical="center"/>
    </xf>
    <xf numFmtId="0" fontId="13" fillId="19" borderId="0">
      <alignment vertical="center"/>
    </xf>
    <xf numFmtId="0" fontId="21" fillId="26" borderId="0">
      <alignment vertical="center"/>
    </xf>
    <xf numFmtId="0" fontId="8" fillId="27" borderId="0">
      <alignment vertical="center"/>
    </xf>
    <xf numFmtId="0" fontId="4" fillId="13" borderId="0">
      <alignment vertical="center"/>
    </xf>
    <xf numFmtId="0" fontId="4" fillId="6" borderId="0">
      <alignment vertical="center"/>
    </xf>
    <xf numFmtId="0" fontId="8" fillId="21" borderId="0">
      <alignment vertical="center"/>
    </xf>
    <xf numFmtId="0" fontId="4" fillId="28" borderId="0">
      <alignment vertical="center"/>
    </xf>
    <xf numFmtId="0" fontId="4" fillId="30" borderId="0">
      <alignment vertical="center"/>
    </xf>
    <xf numFmtId="0" fontId="4" fillId="31" borderId="0">
      <alignment vertical="center"/>
    </xf>
    <xf numFmtId="0" fontId="8" fillId="11" borderId="0">
      <alignment vertical="center"/>
    </xf>
    <xf numFmtId="0" fontId="8" fillId="10" borderId="0">
      <alignment vertical="center"/>
    </xf>
    <xf numFmtId="0" fontId="4" fillId="15" borderId="0">
      <alignment vertical="center"/>
    </xf>
    <xf numFmtId="0" fontId="4" fillId="5" borderId="0">
      <alignment vertical="center"/>
    </xf>
    <xf numFmtId="0" fontId="8" fillId="33" borderId="0">
      <alignment vertical="center"/>
    </xf>
    <xf numFmtId="0" fontId="8" fillId="14" borderId="0">
      <alignment vertical="center"/>
    </xf>
    <xf numFmtId="0" fontId="4" fillId="22" borderId="0">
      <alignment vertical="center"/>
    </xf>
    <xf numFmtId="0" fontId="8" fillId="32" borderId="0">
      <alignment vertical="center"/>
    </xf>
    <xf numFmtId="0" fontId="8" fillId="29" borderId="0">
      <alignment vertical="center"/>
    </xf>
    <xf numFmtId="0" fontId="4" fillId="20" borderId="0">
      <alignment vertical="center"/>
    </xf>
    <xf numFmtId="0" fontId="8" fillId="34" borderId="0">
      <alignment vertical="center"/>
    </xf>
  </cellStyleXfs>
  <cellXfs count="5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zoomScale="160" zoomScaleNormal="160" topLeftCell="A7" workbookViewId="0">
      <selection activeCell="O8" sqref="O8"/>
    </sheetView>
  </sheetViews>
  <sheetFormatPr defaultColWidth="4" defaultRowHeight="13.2"/>
  <cols>
    <col min="1" max="13" width="4" style="1" customWidth="1"/>
    <col min="14" max="14" width="17.3611111111111" style="1" customWidth="1"/>
    <col min="15" max="15" width="46.1759259259259" style="1" customWidth="1"/>
    <col min="16" max="16384" width="4" style="1" customWidth="1"/>
  </cols>
  <sheetData>
    <row r="1" spans="1:1">
      <c r="A1" s="1" t="s">
        <v>0</v>
      </c>
    </row>
    <row r="5" spans="13:15">
      <c r="M5" s="2" t="s">
        <v>1</v>
      </c>
      <c r="N5" s="2" t="s">
        <v>2</v>
      </c>
      <c r="O5" s="2" t="s">
        <v>3</v>
      </c>
    </row>
    <row r="6" ht="86.4" customHeight="1" spans="13:15">
      <c r="M6" s="3">
        <f t="shared" ref="M6:M15" si="0">ROW()-5</f>
        <v>1</v>
      </c>
      <c r="N6" s="3" t="s">
        <v>4</v>
      </c>
      <c r="O6" s="4" t="s">
        <v>5</v>
      </c>
    </row>
    <row r="7" ht="97.2" customHeight="1" spans="13:15">
      <c r="M7" s="3">
        <f t="shared" si="0"/>
        <v>2</v>
      </c>
      <c r="N7" s="3" t="s">
        <v>6</v>
      </c>
      <c r="O7" s="4" t="s">
        <v>7</v>
      </c>
    </row>
    <row r="8" ht="32.4" customHeight="1" spans="13:15">
      <c r="M8" s="3">
        <f t="shared" si="0"/>
        <v>3</v>
      </c>
      <c r="N8" s="3" t="s">
        <v>8</v>
      </c>
      <c r="O8" s="4" t="s">
        <v>9</v>
      </c>
    </row>
    <row r="9" ht="32.4" customHeight="1" spans="13:15">
      <c r="M9" s="3">
        <f t="shared" si="0"/>
        <v>4</v>
      </c>
      <c r="N9" s="3" t="s">
        <v>10</v>
      </c>
      <c r="O9" s="4" t="s">
        <v>11</v>
      </c>
    </row>
    <row r="10" spans="13:15">
      <c r="M10" s="3">
        <f t="shared" si="0"/>
        <v>5</v>
      </c>
      <c r="N10" s="3" t="s">
        <v>12</v>
      </c>
      <c r="O10" s="3" t="s">
        <v>13</v>
      </c>
    </row>
    <row r="11" ht="32.4" customHeight="1" spans="13:15">
      <c r="M11" s="3">
        <f t="shared" si="0"/>
        <v>6</v>
      </c>
      <c r="N11" s="3" t="s">
        <v>14</v>
      </c>
      <c r="O11" s="4" t="s">
        <v>15</v>
      </c>
    </row>
    <row r="12" spans="13:15">
      <c r="M12" s="3">
        <f t="shared" si="0"/>
        <v>7</v>
      </c>
      <c r="N12" s="3"/>
      <c r="O12" s="3"/>
    </row>
    <row r="13" spans="13:15">
      <c r="M13" s="3">
        <f t="shared" si="0"/>
        <v>8</v>
      </c>
      <c r="N13" s="3"/>
      <c r="O13" s="3"/>
    </row>
    <row r="14" spans="13:15">
      <c r="M14" s="3">
        <f t="shared" si="0"/>
        <v>9</v>
      </c>
      <c r="N14" s="3"/>
      <c r="O14" s="3"/>
    </row>
    <row r="15" spans="13:15">
      <c r="M15" s="3">
        <f t="shared" si="0"/>
        <v>10</v>
      </c>
      <c r="N15" s="3"/>
      <c r="O15" s="3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9"/>
  <sheetViews>
    <sheetView tabSelected="1" workbookViewId="0">
      <selection activeCell="E22" sqref="E22"/>
    </sheetView>
  </sheetViews>
  <sheetFormatPr defaultColWidth="8.88888888888889" defaultRowHeight="13.2" outlineLevelCol="1"/>
  <sheetData>
    <row r="1" spans="1:1">
      <c r="A1" t="s">
        <v>16</v>
      </c>
    </row>
    <row r="2" spans="2:2">
      <c r="B2" t="s">
        <v>17</v>
      </c>
    </row>
    <row r="3" spans="2:2">
      <c r="B3" t="s">
        <v>18</v>
      </c>
    </row>
    <row r="4" spans="2:2">
      <c r="B4" t="s">
        <v>19</v>
      </c>
    </row>
    <row r="5" spans="2:2">
      <c r="B5" t="s">
        <v>20</v>
      </c>
    </row>
    <row r="6" spans="2:2">
      <c r="B6" t="s">
        <v>21</v>
      </c>
    </row>
    <row r="7" spans="2:2">
      <c r="B7" t="s">
        <v>22</v>
      </c>
    </row>
    <row r="8" spans="2:2">
      <c r="B8" t="s">
        <v>21</v>
      </c>
    </row>
    <row r="9" spans="2:2">
      <c r="B9" t="s">
        <v>23</v>
      </c>
    </row>
    <row r="10" spans="2:2">
      <c r="B10" t="s">
        <v>21</v>
      </c>
    </row>
    <row r="11" spans="2:2">
      <c r="B11" t="s">
        <v>24</v>
      </c>
    </row>
    <row r="12" spans="2:2">
      <c r="B12" t="s">
        <v>25</v>
      </c>
    </row>
    <row r="13" spans="2:2">
      <c r="B13" t="s">
        <v>26</v>
      </c>
    </row>
    <row r="14" spans="2:2">
      <c r="B14" t="s">
        <v>27</v>
      </c>
    </row>
    <row r="15" spans="2:2">
      <c r="B15" t="s">
        <v>28</v>
      </c>
    </row>
    <row r="16" spans="2:2">
      <c r="B16" t="s">
        <v>29</v>
      </c>
    </row>
    <row r="17" spans="2:2">
      <c r="B17" t="s">
        <v>30</v>
      </c>
    </row>
    <row r="18" spans="2:2">
      <c r="B18" t="s">
        <v>31</v>
      </c>
    </row>
    <row r="19" spans="2:2">
      <c r="B19" t="s"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画面イメージ</vt:lpstr>
      <vt:lpstr>基本プロセス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yukiy</cp:lastModifiedBy>
  <dcterms:created xsi:type="dcterms:W3CDTF">2026-06-18T10:16:00Z</dcterms:created>
  <dcterms:modified xsi:type="dcterms:W3CDTF">2026-06-19T03:54:15Z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F3EEBFEB967343E89A4AC9B3E8E62DDF</vt:lpwstr>
  </property>
</Properties>
</file>